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francesco_altiero2_unina_it/Documents/Desktop/PhD/FEAST/outputs/"/>
    </mc:Choice>
  </mc:AlternateContent>
  <xr:revisionPtr revIDLastSave="5" documentId="11_A8588FE73C4C5011303EF3F424BA6AD720FFD35C" xr6:coauthVersionLast="47" xr6:coauthVersionMax="47" xr10:uidLastSave="{B355DDD6-9E59-42F1-A28C-9E0D69F69BC7}"/>
  <bookViews>
    <workbookView xWindow="2268" yWindow="2268" windowWidth="17280" windowHeight="8880" xr2:uid="{00000000-000D-0000-FFFF-FFFF00000000}"/>
  </bookViews>
  <sheets>
    <sheet name="C_C++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B7" i="1"/>
</calcChain>
</file>

<file path=xl/sharedStrings.xml><?xml version="1.0" encoding="utf-8"?>
<sst xmlns="http://schemas.openxmlformats.org/spreadsheetml/2006/main" count="182" uniqueCount="182">
  <si>
    <t>Dataset</t>
  </si>
  <si>
    <t>Total Samples</t>
  </si>
  <si>
    <t>Vulnerable</t>
  </si>
  <si>
    <t>Safe</t>
  </si>
  <si>
    <t>Unique CWEs</t>
  </si>
  <si>
    <t>CWE-125
Out-of-bounds Read</t>
  </si>
  <si>
    <t>CWE-119
Improper Restriction of Operations within the Bounds of a Memory Buffer</t>
  </si>
  <si>
    <t>CWE-787
Out-of-bounds Write</t>
  </si>
  <si>
    <t>CWE-476
NULL Pointer Dereference</t>
  </si>
  <si>
    <t>CWE-20
Improper Input Validation</t>
  </si>
  <si>
    <t>CWE-416
Use After Free</t>
  </si>
  <si>
    <t>CWE-190
Integer Overflow or Wraparound</t>
  </si>
  <si>
    <t>CWE-200
Exposure of Sensitive Information to an Unauthorized Actor</t>
  </si>
  <si>
    <t>CWE-399
Resource Management Errors</t>
  </si>
  <si>
    <t>CWE-362
Concurrent Execution using Shared Resource with Improper Synchronization ('Race Condition')</t>
  </si>
  <si>
    <t>CWE-120
Buffer Copy without Checking Size of Input ('Classic Buffer Overflow')</t>
  </si>
  <si>
    <t>CWE-264
Permissions, Privileges, and Access Controls</t>
  </si>
  <si>
    <t>CWE-189
Numeric Errors</t>
  </si>
  <si>
    <t>CWE-415
Double Free</t>
  </si>
  <si>
    <t>CWE-401
Missing Release of Memory after Effective Lifetime</t>
  </si>
  <si>
    <t>CWE-284
Improper Access Control</t>
  </si>
  <si>
    <t>CWE-400
Uncontrolled Resource Consumption</t>
  </si>
  <si>
    <t>CWE-617
Reachable Assertion</t>
  </si>
  <si>
    <t>CWE-22
Improper Limitation of a Pathname to a Restricted Directory ('Path Traversal')</t>
  </si>
  <si>
    <t>CWE-369
Divide By Zero</t>
  </si>
  <si>
    <t>CWE-772
Missing Release of Resource after Effective Lifetime</t>
  </si>
  <si>
    <t>CWE-835
Loop with Unreachable Exit Condition ('Infinite Loop')</t>
  </si>
  <si>
    <t>CWE-59
Improper Link Resolution Before File Access ('Link Following')</t>
  </si>
  <si>
    <t>CWE-703
Improper Check or Handling of Exceptional Conditions</t>
  </si>
  <si>
    <t>CWE-310
Cryptographic Issues</t>
  </si>
  <si>
    <t>CWE-287
Improper Authentication</t>
  </si>
  <si>
    <t>CWE-122
Heap-based Buffer Overflow</t>
  </si>
  <si>
    <t>CWE-78
Improper Neutralization of Special Elements used in an OS Command ('OS Command Injection')</t>
  </si>
  <si>
    <t>CWE-295
Improper Certificate Validation</t>
  </si>
  <si>
    <t>CWE-843
Access of Resource Using Incompatible Type ('Type Confusion')</t>
  </si>
  <si>
    <t>CWE-269
Improper Privilege Management</t>
  </si>
  <si>
    <t>CWE-674
Uncontrolled Recursion</t>
  </si>
  <si>
    <t>CWE-19
Data Processing Errors</t>
  </si>
  <si>
    <t>CWE-254
7PK - Security Features</t>
  </si>
  <si>
    <t>CWE-17
DEPRECATED: Code</t>
  </si>
  <si>
    <t>CWE-79
Improper Neutralization of Input During Web Page Generation ('Cross-site Scripting')</t>
  </si>
  <si>
    <t>CWE-667
Improper Locking</t>
  </si>
  <si>
    <t>CWE-763
Release of Invalid Pointer or Reference</t>
  </si>
  <si>
    <t>CWE-908
Use of Uninitialized Resource</t>
  </si>
  <si>
    <t>CWE-770
Allocation of Resources Without Limits or Throttling</t>
  </si>
  <si>
    <t>CWE-732
Incorrect Permission Assignment for Critical Resource</t>
  </si>
  <si>
    <t>CWE-74
Improper Neutralization of Special Elements in Output Used by a Downstream Component ('Injection')</t>
  </si>
  <si>
    <t>CWE-404
Improper Resource Shutdown or Release</t>
  </si>
  <si>
    <t>CWE-203
Observable Discrepancy</t>
  </si>
  <si>
    <t>CWE-755
Improper Handling of Exceptional Conditions</t>
  </si>
  <si>
    <t>CWE-134
Use of Externally-Controlled Format String</t>
  </si>
  <si>
    <t>CWE-252
Unchecked Return Value</t>
  </si>
  <si>
    <t>CWE-824
Access of Uninitialized Pointer</t>
  </si>
  <si>
    <t>CWE-285
Improper Authorization</t>
  </si>
  <si>
    <t>CWE-276
Incorrect Default Permissions</t>
  </si>
  <si>
    <t>CWE-681
Incorrect Conversion between Numeric Types</t>
  </si>
  <si>
    <t>CWE-668
Exposure of Resource to Wrong Sphere</t>
  </si>
  <si>
    <t>CWE-834
Excessive Iteration</t>
  </si>
  <si>
    <t>CWE-754
Improper Check for Unusual or Exceptional Conditions</t>
  </si>
  <si>
    <t>CWE-193
Off-by-one Error</t>
  </si>
  <si>
    <t>CWE-94
Improper Control of Generation of Code ('Code Injection')</t>
  </si>
  <si>
    <t>CWE-863
Incorrect Authorization</t>
  </si>
  <si>
    <t>CWE-444
Inconsistent Interpretation of HTTP Requests ('HTTP Request/Response Smuggling')</t>
  </si>
  <si>
    <t>CWE-704
Incorrect Type Conversion or Cast</t>
  </si>
  <si>
    <t>CWE-191
Integer Underflow (Wrap or Wraparound)</t>
  </si>
  <si>
    <t>CWE-459
Incomplete Cleanup</t>
  </si>
  <si>
    <t>CWE-77
Improper Neutralization of Special Elements used in a Command ('Command Injection')</t>
  </si>
  <si>
    <t>CWE-367
Time-of-check Time-of-use (TOCTOU) Race Condition</t>
  </si>
  <si>
    <t>CWE-665
Improper Initialization</t>
  </si>
  <si>
    <t>CWE-776
Improper Restriction of Recursive Entity References in DTDs ('XML Entity Expansion')</t>
  </si>
  <si>
    <t>CWE-347
Improper Verification of Cryptographic Signature</t>
  </si>
  <si>
    <t>CWE-129
Improper Validation of Array Index</t>
  </si>
  <si>
    <t>CWE-116
Improper Encoding or Escaping of Output</t>
  </si>
  <si>
    <t>CWE-89
Improper Neutralization of Special Elements used in an SQL Command ('SQL Injection')</t>
  </si>
  <si>
    <t>CWE-121
Stack-based Buffer Overflow</t>
  </si>
  <si>
    <t>CWE-88
Improper Neutralization of Argument Delimiters in a Command ('Argument Injection')</t>
  </si>
  <si>
    <t>CWE-290
Authentication Bypass by Spoofing</t>
  </si>
  <si>
    <t>CWE-682
Incorrect Calculation</t>
  </si>
  <si>
    <t>CWE-552
Files or Directories Accessible to External Parties</t>
  </si>
  <si>
    <t>CWE-330
Use of Insufficiently Random Values</t>
  </si>
  <si>
    <t>CWE-862
Missing Authorization</t>
  </si>
  <si>
    <t>CWE-601
URL Redirection to Untrusted Site ('Open Redirect')</t>
  </si>
  <si>
    <t>CWE-913
Improper Control of Dynamically-Managed Code Resources</t>
  </si>
  <si>
    <t>CWE-345
Insufficient Verification of Data Authenticity</t>
  </si>
  <si>
    <t>CWE-1284
Improper Validation of Specified Quantity in Input</t>
  </si>
  <si>
    <t>CWE-611
Improper Restriction of XML External Entity Reference</t>
  </si>
  <si>
    <t>CWE-909
Missing Initialization of Resource</t>
  </si>
  <si>
    <t>CWE-131
Incorrect Calculation of Buffer Size</t>
  </si>
  <si>
    <t>CWE-434
Unrestricted Upload of File with Dangerous Type</t>
  </si>
  <si>
    <t>CWE-326
Inadequate Encryption Strength</t>
  </si>
  <si>
    <t>CWE-354
Improper Validation of Integrity Check Value</t>
  </si>
  <si>
    <t>CWE-388
7PK - Errors</t>
  </si>
  <si>
    <t>CWE-697
Incorrect Comparison</t>
  </si>
  <si>
    <t>CWE-672
Operation on a Resource after Expiration or Release</t>
  </si>
  <si>
    <t>CWE-436
Interpretation Conflict</t>
  </si>
  <si>
    <t>CWE-532
Insertion of Sensitive Information into Log File</t>
  </si>
  <si>
    <t>CWE-522
Insufficiently Protected Credentials</t>
  </si>
  <si>
    <t>CWE-358
Improperly Implemented Security Check for Standard</t>
  </si>
  <si>
    <t>CWE-613
Insufficient Session Expiration</t>
  </si>
  <si>
    <t>CWE-311
Missing Encryption of Sensitive Data</t>
  </si>
  <si>
    <t>CWE-323
Reusing a Nonce, Key Pair in Encryption</t>
  </si>
  <si>
    <t>CWE-918
Server-Side Request Forgery (SSRF)</t>
  </si>
  <si>
    <t>CWE-352
Cross-Site Request Forgery (CSRF)</t>
  </si>
  <si>
    <t>CWE-502
Deserialization of Untrusted Data</t>
  </si>
  <si>
    <t>CWE-706
Use of Incorrectly-Resolved Name or Reference</t>
  </si>
  <si>
    <t>CWE-90
Improper Neutralization of Special Elements used in an LDAP Query ('LDAP Injection')</t>
  </si>
  <si>
    <t>CWE-255
Credentials Management Errors</t>
  </si>
  <si>
    <t>CWE-320
Key Management Errors</t>
  </si>
  <si>
    <t>CWE-327
Use of a Broken or Risky Cryptographic Algorithm</t>
  </si>
  <si>
    <t>CWE-823
Use of Out-of-range Pointer Offset</t>
  </si>
  <si>
    <t>CWE-428
Unquoted Search Path or Element</t>
  </si>
  <si>
    <t>CWE-384
Session Fixation</t>
  </si>
  <si>
    <t>CWE-426
Untrusted Search Path</t>
  </si>
  <si>
    <t>CWE-670
Always-Incorrect Control Flow Implementation</t>
  </si>
  <si>
    <t>CWE-319
Cleartext Transmission of Sensitive Information</t>
  </si>
  <si>
    <t>CWE-407
Inefficient Algorithmic Complexity</t>
  </si>
  <si>
    <t>CWE-303
Incorrect Implementation of Authentication Algorithm</t>
  </si>
  <si>
    <t>CWE-273
Improper Check for Dropped Privileges</t>
  </si>
  <si>
    <t>CWE-1077
Floating Point Comparison with Incorrect Operator</t>
  </si>
  <si>
    <t>CWE-337
Predictable Seed in Pseudo-Random Number Generator (PRNG)</t>
  </si>
  <si>
    <t>CWE-281
Improper Preservation of Permissions</t>
  </si>
  <si>
    <t>CWE-212
Improper Removal of Sensitive Information Before Storage or Transfer</t>
  </si>
  <si>
    <t>CWE-1325
Improperly Controlled Sequential Memory Allocation</t>
  </si>
  <si>
    <t>CWE-494
Download of Code Without Integrity Check</t>
  </si>
  <si>
    <t>CWE-16
Configuration</t>
  </si>
  <si>
    <t>CWE-241
Improper Handling of Unexpected Data Type</t>
  </si>
  <si>
    <t>CWE-18
DEPRECATED: Source Code</t>
  </si>
  <si>
    <t>CWE-61
UNIX Symbolic Link (Symlink) Following</t>
  </si>
  <si>
    <t>CWE-1187
DEPRECATED: Use of Uninitialized Resource</t>
  </si>
  <si>
    <t>CWE-427
Uncontrolled Search Path Element</t>
  </si>
  <si>
    <t>CWE-172
Encoding Error</t>
  </si>
  <si>
    <t>CWE-707
Improper Neutralization</t>
  </si>
  <si>
    <t>CWE-294
Authentication Bypass by Capture-replay</t>
  </si>
  <si>
    <t>CWE-253
Incorrect Check of Function Return Value</t>
  </si>
  <si>
    <t>CWE-126
Buffer Over-read</t>
  </si>
  <si>
    <t>CWE-662
Improper Synchronization</t>
  </si>
  <si>
    <t>CWE-331
Insufficient Entropy</t>
  </si>
  <si>
    <t>CWE-1021
Improper Restriction of Rendered UI Layers or Frames</t>
  </si>
  <si>
    <t>CWE-346
Origin Validation Error</t>
  </si>
  <si>
    <t>CWE-924
Improper Enforcement of Message Integrity During Transmission in a Communication Channel</t>
  </si>
  <si>
    <t>CWE-460
Improper Cleanup on Thrown Exception</t>
  </si>
  <si>
    <t>CWE-606
Unchecked Input for Loop Condition</t>
  </si>
  <si>
    <t>CWE-943
Improper Neutralization of Special Elements in Data Query Logic</t>
  </si>
  <si>
    <t>CWE-208
Observable Timing Discrepancy</t>
  </si>
  <si>
    <t>CWE-312
Cleartext Storage of Sensitive Information</t>
  </si>
  <si>
    <t>CWE-325
Missing Cryptographic Step</t>
  </si>
  <si>
    <t>CWE-664
Improper Control of a Resource Through its Lifetime</t>
  </si>
  <si>
    <t>CWE-349
Acceptance of Extraneous Untrusted Data With Trusted Data</t>
  </si>
  <si>
    <t>CWE-93
Improper Neutralization of CRLF Sequences ('CRLF Injection')</t>
  </si>
  <si>
    <t>CWE-113
Improper Neutralization of CRLF Sequences in HTTP Headers ('HTTP Request/Response Splitting')</t>
  </si>
  <si>
    <t>CWE-457
Use of Uninitialized Variable</t>
  </si>
  <si>
    <t>CWE-680
Integer Overflow to Buffer Overflow</t>
  </si>
  <si>
    <t>CWE-96
Improper Neutralization of Directives in Statically Saved Code ('Static Code Injection')</t>
  </si>
  <si>
    <t>CWE-307
Improper Restriction of Excessive Authentication Attempts</t>
  </si>
  <si>
    <t>CWE-838
Inappropriate Encoding for Output Context</t>
  </si>
  <si>
    <t>CWE-209
Generation of Error Message Containing Sensitive Information</t>
  </si>
  <si>
    <t>CWE-361
7PK - Time and State</t>
  </si>
  <si>
    <t>CWE-639
Authorization Bypass Through User-Controlled Key</t>
  </si>
  <si>
    <t>CWE-417
Communication Channel Errors</t>
  </si>
  <si>
    <t>CWE-798
Use of Hard-coded Credentials</t>
  </si>
  <si>
    <t>CWE-288
Authentication Bypass Using an Alternate Path or Channel</t>
  </si>
  <si>
    <t>CWE-275
Permission Issues</t>
  </si>
  <si>
    <t>CWE-405
Asymmetric Resource Consumption (Amplification)</t>
  </si>
  <si>
    <t>CWE-182
Collapse of Data into Unsafe Value</t>
  </si>
  <si>
    <t>CWE-693
Protection Mechanism Failure</t>
  </si>
  <si>
    <t>PrimeVul</t>
  </si>
  <si>
    <t>ICVul</t>
  </si>
  <si>
    <t>CVEfixes</t>
  </si>
  <si>
    <t>MegaVul</t>
  </si>
  <si>
    <t>SecVulEval</t>
  </si>
  <si>
    <t>Colour</t>
  </si>
  <si>
    <t>Meaning</t>
  </si>
  <si>
    <t>Green (#92D050)</t>
  </si>
  <si>
    <t>Leaf CWE -- most specific; no children in MITRE tree</t>
  </si>
  <si>
    <t>Amber (#FFC000)</t>
  </si>
  <si>
    <t>Non-leaf CWE -- umbrella / intermediate node; has children</t>
  </si>
  <si>
    <t>Gray  (#BFBFBF)</t>
  </si>
  <si>
    <t>Unknown CWE -- ID not found in cwec_latest.xml</t>
  </si>
  <si>
    <t>Pink  (#FFB3B3)</t>
  </si>
  <si>
    <t>Deprecated CWE -- superseded; name starts with DEPRECATED:</t>
  </si>
  <si>
    <t>Purple (#D2B4DE)</t>
  </si>
  <si>
    <t>Category/View CWE -- MITRE organisational grouping (e.g. 7PK)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</si>
</sst>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b/>
      <sz val="1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D2B4DE"/>
      </patternFill>
    </fill>
    <fill>
      <patternFill patternType="solid">
        <fgColor rgb="FFFFB3B3"/>
      </patternFill>
    </fill>
    <fill>
      <patternFill patternType="solid">
        <fgColor rgb="FFF2F2F2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8" sqref="A8:XFD8"/>
    </sheetView>
  </sheetViews>
  <sheetFormatPr defaultRowHeight="14.4" x14ac:dyDescent="0.3"/>
  <cols>
    <col min="1" max="1" width="18" customWidth="1"/>
    <col min="2" max="5" width="14" customWidth="1"/>
    <col min="6" max="165" width="16" customWidth="1"/>
  </cols>
  <sheetData>
    <row r="1" spans="1:165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2" t="s">
        <v>25</v>
      </c>
      <c r="AA1" s="3" t="s">
        <v>26</v>
      </c>
      <c r="AB1" s="2" t="s">
        <v>27</v>
      </c>
      <c r="AC1" s="2" t="s">
        <v>28</v>
      </c>
      <c r="AD1" s="4" t="s">
        <v>29</v>
      </c>
      <c r="AE1" s="2" t="s">
        <v>30</v>
      </c>
      <c r="AF1" s="3" t="s">
        <v>31</v>
      </c>
      <c r="AG1" s="3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4" t="s">
        <v>37</v>
      </c>
      <c r="AM1" s="4" t="s">
        <v>38</v>
      </c>
      <c r="AN1" s="4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2" t="s">
        <v>51</v>
      </c>
      <c r="BA1" s="3" t="s">
        <v>52</v>
      </c>
      <c r="BB1" s="2" t="s">
        <v>53</v>
      </c>
      <c r="BC1" s="3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2" t="s">
        <v>60</v>
      </c>
      <c r="BJ1" s="2" t="s">
        <v>61</v>
      </c>
      <c r="BK1" s="3" t="s">
        <v>62</v>
      </c>
      <c r="BL1" s="2" t="s">
        <v>63</v>
      </c>
      <c r="BM1" s="3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3" t="s">
        <v>69</v>
      </c>
      <c r="BS1" s="3" t="s">
        <v>70</v>
      </c>
      <c r="BT1" s="3" t="s">
        <v>71</v>
      </c>
      <c r="BU1" s="2" t="s">
        <v>72</v>
      </c>
      <c r="BV1" s="2" t="s">
        <v>73</v>
      </c>
      <c r="BW1" s="3" t="s">
        <v>74</v>
      </c>
      <c r="BX1" s="3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2" t="s">
        <v>83</v>
      </c>
      <c r="CG1" s="2" t="s">
        <v>84</v>
      </c>
      <c r="CH1" s="3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4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2" t="s">
        <v>104</v>
      </c>
      <c r="DB1" s="3" t="s">
        <v>105</v>
      </c>
      <c r="DC1" s="4" t="s">
        <v>106</v>
      </c>
      <c r="DD1" s="4" t="s">
        <v>107</v>
      </c>
      <c r="DE1" s="2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2" t="s">
        <v>121</v>
      </c>
      <c r="DS1" s="3" t="s">
        <v>122</v>
      </c>
      <c r="DT1" s="3" t="s">
        <v>123</v>
      </c>
      <c r="DU1" s="4" t="s">
        <v>124</v>
      </c>
      <c r="DV1" s="3" t="s">
        <v>125</v>
      </c>
      <c r="DW1" s="4" t="s">
        <v>126</v>
      </c>
      <c r="DX1" s="3" t="s">
        <v>127</v>
      </c>
      <c r="DY1" s="5" t="s">
        <v>128</v>
      </c>
      <c r="DZ1" s="3" t="s">
        <v>129</v>
      </c>
      <c r="EA1" s="2" t="s">
        <v>130</v>
      </c>
      <c r="EB1" s="2" t="s">
        <v>131</v>
      </c>
      <c r="EC1" s="3" t="s">
        <v>132</v>
      </c>
      <c r="ED1" s="3" t="s">
        <v>133</v>
      </c>
      <c r="EE1" s="3" t="s">
        <v>134</v>
      </c>
      <c r="EF1" s="2" t="s">
        <v>135</v>
      </c>
      <c r="EG1" s="2" t="s">
        <v>136</v>
      </c>
      <c r="EH1" s="3" t="s">
        <v>137</v>
      </c>
      <c r="EI1" s="2" t="s">
        <v>138</v>
      </c>
      <c r="EJ1" s="3" t="s">
        <v>139</v>
      </c>
      <c r="EK1" s="3" t="s">
        <v>140</v>
      </c>
      <c r="EL1" s="3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2" t="s">
        <v>146</v>
      </c>
      <c r="ER1" s="3" t="s">
        <v>147</v>
      </c>
      <c r="ES1" s="2" t="s">
        <v>148</v>
      </c>
      <c r="ET1" s="3" t="s">
        <v>149</v>
      </c>
      <c r="EU1" s="3" t="s">
        <v>150</v>
      </c>
      <c r="EV1" s="3" t="s">
        <v>151</v>
      </c>
      <c r="EW1" s="2" t="s">
        <v>152</v>
      </c>
      <c r="EX1" s="3" t="s">
        <v>153</v>
      </c>
      <c r="EY1" s="3" t="s">
        <v>154</v>
      </c>
      <c r="EZ1" s="2" t="s">
        <v>155</v>
      </c>
      <c r="FA1" s="4" t="s">
        <v>156</v>
      </c>
      <c r="FB1" s="2" t="s">
        <v>157</v>
      </c>
      <c r="FC1" s="4" t="s">
        <v>158</v>
      </c>
      <c r="FD1" s="2" t="s">
        <v>159</v>
      </c>
      <c r="FE1" s="2" t="s">
        <v>160</v>
      </c>
      <c r="FF1" s="4" t="s">
        <v>161</v>
      </c>
      <c r="FG1" s="2" t="s">
        <v>162</v>
      </c>
      <c r="FH1" s="3" t="s">
        <v>163</v>
      </c>
      <c r="FI1" s="2" t="s">
        <v>164</v>
      </c>
    </row>
    <row r="2" spans="1:165" x14ac:dyDescent="0.3">
      <c r="A2" s="6" t="s">
        <v>165</v>
      </c>
      <c r="B2" s="7">
        <v>200008</v>
      </c>
      <c r="C2" s="7">
        <v>4834</v>
      </c>
      <c r="D2" s="7">
        <v>195174</v>
      </c>
      <c r="E2" s="7">
        <v>121</v>
      </c>
      <c r="F2" s="7">
        <v>550</v>
      </c>
      <c r="G2" s="7">
        <v>611</v>
      </c>
      <c r="H2" s="7">
        <v>368</v>
      </c>
      <c r="I2" s="7">
        <v>297</v>
      </c>
      <c r="J2" s="7">
        <v>407</v>
      </c>
      <c r="K2" s="7">
        <v>224</v>
      </c>
      <c r="L2" s="7">
        <v>192</v>
      </c>
      <c r="M2" s="7">
        <v>248</v>
      </c>
      <c r="N2" s="7">
        <v>176</v>
      </c>
      <c r="O2" s="7">
        <v>82</v>
      </c>
      <c r="P2" s="7">
        <v>41</v>
      </c>
      <c r="Q2" s="7">
        <v>147</v>
      </c>
      <c r="R2" s="7">
        <v>141</v>
      </c>
      <c r="S2" s="7">
        <v>68</v>
      </c>
      <c r="T2" s="7">
        <v>93</v>
      </c>
      <c r="U2" s="7">
        <v>56</v>
      </c>
      <c r="V2" s="7">
        <v>35</v>
      </c>
      <c r="W2" s="7">
        <v>45</v>
      </c>
      <c r="X2" s="7">
        <v>37</v>
      </c>
      <c r="Y2" s="7">
        <v>84</v>
      </c>
      <c r="Z2" s="7">
        <v>86</v>
      </c>
      <c r="AA2" s="7">
        <v>55</v>
      </c>
      <c r="AB2" s="7">
        <v>24</v>
      </c>
      <c r="AC2" s="7">
        <v>189</v>
      </c>
      <c r="AD2" s="7">
        <v>53</v>
      </c>
      <c r="AE2" s="7">
        <v>16</v>
      </c>
      <c r="AF2" s="7">
        <v>10</v>
      </c>
      <c r="AG2" s="7">
        <v>19</v>
      </c>
      <c r="AH2" s="7">
        <v>9</v>
      </c>
      <c r="AI2" s="7">
        <v>9</v>
      </c>
      <c r="AJ2" s="7">
        <v>22</v>
      </c>
      <c r="AK2" s="7">
        <v>11</v>
      </c>
      <c r="AL2" s="7">
        <v>13</v>
      </c>
      <c r="AM2" s="7">
        <v>19</v>
      </c>
      <c r="AN2" s="7">
        <v>15</v>
      </c>
      <c r="AO2" s="7">
        <v>24</v>
      </c>
      <c r="AP2" s="7">
        <v>2</v>
      </c>
      <c r="AQ2" s="7">
        <v>7</v>
      </c>
      <c r="AR2" s="7">
        <v>6</v>
      </c>
      <c r="AS2" s="7">
        <v>20</v>
      </c>
      <c r="AT2" s="7">
        <v>5</v>
      </c>
      <c r="AU2" s="7">
        <v>9</v>
      </c>
      <c r="AV2" s="7">
        <v>4</v>
      </c>
      <c r="AW2" s="7">
        <v>5</v>
      </c>
      <c r="AX2" s="7">
        <v>8</v>
      </c>
      <c r="AY2" s="7">
        <v>6</v>
      </c>
      <c r="AZ2" s="7">
        <v>5</v>
      </c>
      <c r="BA2" s="7">
        <v>10</v>
      </c>
      <c r="BB2" s="7">
        <v>4</v>
      </c>
      <c r="BC2" s="7">
        <v>7</v>
      </c>
      <c r="BD2" s="7">
        <v>1</v>
      </c>
      <c r="BE2" s="7">
        <v>3</v>
      </c>
      <c r="BF2" s="7">
        <v>15</v>
      </c>
      <c r="BG2" s="7">
        <v>13</v>
      </c>
      <c r="BH2" s="7">
        <v>6</v>
      </c>
      <c r="BI2" s="7">
        <v>17</v>
      </c>
      <c r="BJ2" s="7">
        <v>5</v>
      </c>
      <c r="BK2" s="7">
        <v>2</v>
      </c>
      <c r="BL2" s="7">
        <v>12</v>
      </c>
      <c r="BM2" s="7">
        <v>10</v>
      </c>
      <c r="BN2" s="7"/>
      <c r="BO2" s="7">
        <v>6</v>
      </c>
      <c r="BP2" s="7"/>
      <c r="BQ2" s="7">
        <v>15</v>
      </c>
      <c r="BR2" s="7"/>
      <c r="BS2" s="7">
        <v>6</v>
      </c>
      <c r="BT2" s="7">
        <v>4</v>
      </c>
      <c r="BU2" s="7">
        <v>1</v>
      </c>
      <c r="BV2" s="7">
        <v>6</v>
      </c>
      <c r="BW2" s="7">
        <v>2</v>
      </c>
      <c r="BX2" s="7">
        <v>4</v>
      </c>
      <c r="BY2" s="7">
        <v>1</v>
      </c>
      <c r="BZ2" s="7">
        <v>3</v>
      </c>
      <c r="CA2" s="7">
        <v>2</v>
      </c>
      <c r="CB2" s="7"/>
      <c r="CC2" s="7">
        <v>7</v>
      </c>
      <c r="CD2" s="7">
        <v>4</v>
      </c>
      <c r="CE2" s="7"/>
      <c r="CF2" s="7">
        <v>9</v>
      </c>
      <c r="CG2" s="7"/>
      <c r="CH2" s="7">
        <v>2</v>
      </c>
      <c r="CI2" s="7">
        <v>6</v>
      </c>
      <c r="CJ2" s="7">
        <v>1</v>
      </c>
      <c r="CK2" s="7">
        <v>1</v>
      </c>
      <c r="CL2" s="7">
        <v>4</v>
      </c>
      <c r="CM2" s="7">
        <v>4</v>
      </c>
      <c r="CN2" s="7">
        <v>5</v>
      </c>
      <c r="CO2" s="7">
        <v>3</v>
      </c>
      <c r="CP2" s="7">
        <v>3</v>
      </c>
      <c r="CQ2" s="7"/>
      <c r="CR2" s="7">
        <v>5</v>
      </c>
      <c r="CS2" s="7">
        <v>4</v>
      </c>
      <c r="CT2" s="7"/>
      <c r="CU2" s="7">
        <v>1</v>
      </c>
      <c r="CV2" s="7">
        <v>1</v>
      </c>
      <c r="CW2" s="7"/>
      <c r="CX2" s="7">
        <v>2</v>
      </c>
      <c r="CY2" s="7">
        <v>2</v>
      </c>
      <c r="CZ2" s="7">
        <v>2</v>
      </c>
      <c r="DA2" s="7"/>
      <c r="DB2" s="7"/>
      <c r="DC2" s="7">
        <v>2</v>
      </c>
      <c r="DD2" s="7">
        <v>8</v>
      </c>
      <c r="DE2" s="7">
        <v>7</v>
      </c>
      <c r="DF2" s="7">
        <v>2</v>
      </c>
      <c r="DG2" s="7"/>
      <c r="DH2" s="7"/>
      <c r="DI2" s="7">
        <v>1</v>
      </c>
      <c r="DJ2" s="7">
        <v>1</v>
      </c>
      <c r="DK2" s="7"/>
      <c r="DL2" s="7"/>
      <c r="DM2" s="7"/>
      <c r="DN2" s="7">
        <v>1</v>
      </c>
      <c r="DO2" s="7"/>
      <c r="DP2" s="7"/>
      <c r="DQ2" s="7">
        <v>1</v>
      </c>
      <c r="DR2" s="7">
        <v>2</v>
      </c>
      <c r="DS2" s="7"/>
      <c r="DT2" s="7"/>
      <c r="DU2" s="7">
        <v>1</v>
      </c>
      <c r="DV2" s="7">
        <v>2</v>
      </c>
      <c r="DW2" s="7"/>
      <c r="DX2" s="7">
        <v>5</v>
      </c>
      <c r="DY2" s="7"/>
      <c r="DZ2" s="7"/>
      <c r="EA2" s="7">
        <v>2</v>
      </c>
      <c r="EB2" s="7">
        <v>1</v>
      </c>
      <c r="EC2" s="7">
        <v>4</v>
      </c>
      <c r="ED2" s="7"/>
      <c r="EE2" s="7"/>
      <c r="EF2" s="7"/>
      <c r="EG2" s="7">
        <v>3</v>
      </c>
      <c r="EH2" s="7">
        <v>1</v>
      </c>
      <c r="EI2" s="7">
        <v>1</v>
      </c>
      <c r="EJ2" s="7">
        <v>2</v>
      </c>
      <c r="EK2" s="7"/>
      <c r="EL2" s="7"/>
      <c r="EM2" s="7"/>
      <c r="EN2" s="7"/>
      <c r="EO2" s="7"/>
      <c r="EP2" s="7"/>
      <c r="EQ2" s="7">
        <v>1</v>
      </c>
      <c r="ER2" s="7">
        <v>1</v>
      </c>
      <c r="ES2" s="7">
        <v>2</v>
      </c>
      <c r="ET2" s="7">
        <v>1</v>
      </c>
      <c r="EU2" s="7">
        <v>1</v>
      </c>
      <c r="EV2" s="7"/>
      <c r="EW2" s="7"/>
      <c r="EX2" s="7"/>
      <c r="EY2" s="7"/>
      <c r="EZ2" s="7">
        <v>1</v>
      </c>
      <c r="FA2" s="7">
        <v>1</v>
      </c>
      <c r="FB2" s="7">
        <v>1</v>
      </c>
      <c r="FC2" s="7">
        <v>1</v>
      </c>
      <c r="FD2" s="7">
        <v>1</v>
      </c>
      <c r="FE2" s="7">
        <v>1</v>
      </c>
      <c r="FF2" s="7">
        <v>1</v>
      </c>
      <c r="FG2" s="7"/>
      <c r="FH2" s="7"/>
      <c r="FI2" s="7"/>
    </row>
    <row r="3" spans="1:165" x14ac:dyDescent="0.3">
      <c r="A3" s="8" t="s">
        <v>166</v>
      </c>
      <c r="B3" s="9">
        <v>5782</v>
      </c>
      <c r="C3" s="9">
        <v>5782</v>
      </c>
      <c r="D3" s="9">
        <v>0</v>
      </c>
      <c r="E3" s="9">
        <v>127</v>
      </c>
      <c r="F3" s="9">
        <v>685</v>
      </c>
      <c r="G3" s="9">
        <v>500</v>
      </c>
      <c r="H3" s="9">
        <v>460</v>
      </c>
      <c r="I3" s="9">
        <v>388</v>
      </c>
      <c r="J3" s="9">
        <v>260</v>
      </c>
      <c r="K3" s="9">
        <v>235</v>
      </c>
      <c r="L3" s="9">
        <v>278</v>
      </c>
      <c r="M3" s="9">
        <v>123</v>
      </c>
      <c r="N3" s="9">
        <v>100</v>
      </c>
      <c r="O3" s="9">
        <v>193</v>
      </c>
      <c r="P3" s="9">
        <v>216</v>
      </c>
      <c r="Q3" s="9">
        <v>110</v>
      </c>
      <c r="R3" s="9">
        <v>89</v>
      </c>
      <c r="S3" s="9">
        <v>121</v>
      </c>
      <c r="T3" s="9">
        <v>72</v>
      </c>
      <c r="U3" s="9">
        <v>57</v>
      </c>
      <c r="V3" s="9">
        <v>82</v>
      </c>
      <c r="W3" s="9">
        <v>106</v>
      </c>
      <c r="X3" s="9">
        <v>82</v>
      </c>
      <c r="Y3" s="9">
        <v>37</v>
      </c>
      <c r="Z3" s="9">
        <v>45</v>
      </c>
      <c r="AA3" s="9">
        <v>63</v>
      </c>
      <c r="AB3" s="9">
        <v>73</v>
      </c>
      <c r="AC3" s="9"/>
      <c r="AD3" s="9">
        <v>46</v>
      </c>
      <c r="AE3" s="9">
        <v>66</v>
      </c>
      <c r="AF3" s="9">
        <v>26</v>
      </c>
      <c r="AG3" s="9">
        <v>53</v>
      </c>
      <c r="AH3" s="9">
        <v>59</v>
      </c>
      <c r="AI3" s="9">
        <v>57</v>
      </c>
      <c r="AJ3" s="9">
        <v>26</v>
      </c>
      <c r="AK3" s="9">
        <v>46</v>
      </c>
      <c r="AL3" s="9">
        <v>43</v>
      </c>
      <c r="AM3" s="9">
        <v>6</v>
      </c>
      <c r="AN3" s="9">
        <v>33</v>
      </c>
      <c r="AO3" s="9">
        <v>18</v>
      </c>
      <c r="AP3" s="9">
        <v>77</v>
      </c>
      <c r="AQ3" s="9">
        <v>44</v>
      </c>
      <c r="AR3" s="9">
        <v>29</v>
      </c>
      <c r="AS3" s="9">
        <v>32</v>
      </c>
      <c r="AT3" s="9">
        <v>16</v>
      </c>
      <c r="AU3" s="9">
        <v>18</v>
      </c>
      <c r="AV3" s="9">
        <v>32</v>
      </c>
      <c r="AW3" s="9">
        <v>20</v>
      </c>
      <c r="AX3" s="9">
        <v>18</v>
      </c>
      <c r="AY3" s="9">
        <v>24</v>
      </c>
      <c r="AZ3" s="9">
        <v>22</v>
      </c>
      <c r="BA3" s="9">
        <v>14</v>
      </c>
      <c r="BB3" s="9">
        <v>14</v>
      </c>
      <c r="BC3" s="9">
        <v>12</v>
      </c>
      <c r="BD3" s="9">
        <v>20</v>
      </c>
      <c r="BE3" s="9">
        <v>16</v>
      </c>
      <c r="BF3" s="9">
        <v>9</v>
      </c>
      <c r="BG3" s="9">
        <v>7</v>
      </c>
      <c r="BH3" s="9">
        <v>12</v>
      </c>
      <c r="BI3" s="9">
        <v>13</v>
      </c>
      <c r="BJ3" s="9">
        <v>7</v>
      </c>
      <c r="BK3" s="9">
        <v>14</v>
      </c>
      <c r="BL3" s="9">
        <v>6</v>
      </c>
      <c r="BM3" s="9">
        <v>9</v>
      </c>
      <c r="BN3" s="9">
        <v>3</v>
      </c>
      <c r="BO3" s="9">
        <v>15</v>
      </c>
      <c r="BP3" s="9">
        <v>23</v>
      </c>
      <c r="BQ3" s="9">
        <v>9</v>
      </c>
      <c r="BR3" s="9">
        <v>15</v>
      </c>
      <c r="BS3" s="9">
        <v>12</v>
      </c>
      <c r="BT3" s="9">
        <v>13</v>
      </c>
      <c r="BU3" s="9">
        <v>14</v>
      </c>
      <c r="BV3" s="9">
        <v>8</v>
      </c>
      <c r="BW3" s="9">
        <v>8</v>
      </c>
      <c r="BX3" s="9">
        <v>27</v>
      </c>
      <c r="BY3" s="9">
        <v>16</v>
      </c>
      <c r="BZ3" s="9">
        <v>11</v>
      </c>
      <c r="CA3" s="9">
        <v>11</v>
      </c>
      <c r="CB3" s="9">
        <v>12</v>
      </c>
      <c r="CC3" s="9">
        <v>7</v>
      </c>
      <c r="CD3" s="9">
        <v>12</v>
      </c>
      <c r="CE3" s="9">
        <v>10</v>
      </c>
      <c r="CF3" s="9">
        <v>6</v>
      </c>
      <c r="CG3" s="9">
        <v>6</v>
      </c>
      <c r="CH3" s="9">
        <v>10</v>
      </c>
      <c r="CI3" s="9">
        <v>1</v>
      </c>
      <c r="CJ3" s="9">
        <v>11</v>
      </c>
      <c r="CK3" s="9">
        <v>8</v>
      </c>
      <c r="CL3" s="9">
        <v>8</v>
      </c>
      <c r="CM3" s="9">
        <v>7</v>
      </c>
      <c r="CN3" s="9">
        <v>6</v>
      </c>
      <c r="CO3" s="9">
        <v>7</v>
      </c>
      <c r="CP3" s="9">
        <v>9</v>
      </c>
      <c r="CQ3" s="9">
        <v>7</v>
      </c>
      <c r="CR3" s="9">
        <v>4</v>
      </c>
      <c r="CS3" s="9">
        <v>4</v>
      </c>
      <c r="CT3" s="9"/>
      <c r="CU3" s="9">
        <v>7</v>
      </c>
      <c r="CV3" s="9"/>
      <c r="CW3" s="9">
        <v>8</v>
      </c>
      <c r="CX3" s="9">
        <v>6</v>
      </c>
      <c r="CY3" s="9"/>
      <c r="CZ3" s="9">
        <v>6</v>
      </c>
      <c r="DA3" s="9">
        <v>4</v>
      </c>
      <c r="DB3" s="9">
        <v>6</v>
      </c>
      <c r="DC3" s="9">
        <v>2</v>
      </c>
      <c r="DD3" s="9">
        <v>1</v>
      </c>
      <c r="DE3" s="9"/>
      <c r="DF3" s="9"/>
      <c r="DG3" s="9">
        <v>5</v>
      </c>
      <c r="DH3" s="9">
        <v>6</v>
      </c>
      <c r="DI3" s="9">
        <v>4</v>
      </c>
      <c r="DJ3" s="9">
        <v>4</v>
      </c>
      <c r="DK3" s="9">
        <v>4</v>
      </c>
      <c r="DL3" s="9">
        <v>4</v>
      </c>
      <c r="DM3" s="9">
        <v>9</v>
      </c>
      <c r="DN3" s="9">
        <v>3</v>
      </c>
      <c r="DO3" s="9">
        <v>3</v>
      </c>
      <c r="DP3" s="9">
        <v>4</v>
      </c>
      <c r="DQ3" s="9"/>
      <c r="DR3" s="9">
        <v>2</v>
      </c>
      <c r="DS3" s="9">
        <v>7</v>
      </c>
      <c r="DT3" s="9">
        <v>3</v>
      </c>
      <c r="DU3" s="9">
        <v>1</v>
      </c>
      <c r="DV3" s="9">
        <v>2</v>
      </c>
      <c r="DW3" s="9"/>
      <c r="DX3" s="9"/>
      <c r="DY3" s="9">
        <v>2</v>
      </c>
      <c r="DZ3" s="9">
        <v>2</v>
      </c>
      <c r="EA3" s="9"/>
      <c r="EB3" s="9"/>
      <c r="EC3" s="9"/>
      <c r="ED3" s="9">
        <v>4</v>
      </c>
      <c r="EE3" s="9"/>
      <c r="EF3" s="9"/>
      <c r="EG3" s="9"/>
      <c r="EH3" s="9"/>
      <c r="EI3" s="9"/>
      <c r="EJ3" s="9">
        <v>1</v>
      </c>
      <c r="EK3" s="9">
        <v>1</v>
      </c>
      <c r="EL3" s="9">
        <v>3</v>
      </c>
      <c r="EM3" s="9">
        <v>1</v>
      </c>
      <c r="EN3" s="9">
        <v>1</v>
      </c>
      <c r="EO3" s="9">
        <v>1</v>
      </c>
      <c r="EP3" s="9"/>
      <c r="EQ3" s="9"/>
      <c r="ER3" s="9"/>
      <c r="ES3" s="9"/>
      <c r="ET3" s="9"/>
      <c r="EU3" s="9"/>
      <c r="EV3" s="9">
        <v>2</v>
      </c>
      <c r="EW3" s="9">
        <v>2</v>
      </c>
      <c r="EX3" s="9"/>
      <c r="EY3" s="9"/>
      <c r="EZ3" s="9"/>
      <c r="FA3" s="9"/>
      <c r="FB3" s="9"/>
      <c r="FC3" s="9"/>
      <c r="FD3" s="9"/>
      <c r="FE3" s="9"/>
      <c r="FF3" s="9"/>
      <c r="FG3" s="9">
        <v>1</v>
      </c>
      <c r="FH3" s="9">
        <v>1</v>
      </c>
      <c r="FI3" s="9"/>
    </row>
    <row r="4" spans="1:165" x14ac:dyDescent="0.3">
      <c r="A4" s="6" t="s">
        <v>167</v>
      </c>
      <c r="B4" s="7">
        <v>2518</v>
      </c>
      <c r="C4" s="7">
        <v>2518</v>
      </c>
      <c r="D4" s="7">
        <v>0</v>
      </c>
      <c r="E4" s="7">
        <v>117</v>
      </c>
      <c r="F4" s="7">
        <v>281</v>
      </c>
      <c r="G4" s="7">
        <v>235</v>
      </c>
      <c r="H4" s="7">
        <v>239</v>
      </c>
      <c r="I4" s="7">
        <v>225</v>
      </c>
      <c r="J4" s="7">
        <v>118</v>
      </c>
      <c r="K4" s="7">
        <v>170</v>
      </c>
      <c r="L4" s="7">
        <v>114</v>
      </c>
      <c r="M4" s="7">
        <v>70</v>
      </c>
      <c r="N4" s="7">
        <v>60</v>
      </c>
      <c r="O4" s="7">
        <v>70</v>
      </c>
      <c r="P4" s="7">
        <v>67</v>
      </c>
      <c r="Q4" s="7">
        <v>48</v>
      </c>
      <c r="R4" s="7">
        <v>42</v>
      </c>
      <c r="S4" s="7">
        <v>42</v>
      </c>
      <c r="T4" s="7">
        <v>56</v>
      </c>
      <c r="U4" s="7">
        <v>19</v>
      </c>
      <c r="V4" s="7">
        <v>28</v>
      </c>
      <c r="W4" s="7">
        <v>28</v>
      </c>
      <c r="X4" s="7">
        <v>18</v>
      </c>
      <c r="Y4" s="7">
        <v>31</v>
      </c>
      <c r="Z4" s="7">
        <v>18</v>
      </c>
      <c r="AA4" s="7">
        <v>20</v>
      </c>
      <c r="AB4" s="7">
        <v>18</v>
      </c>
      <c r="AC4" s="7"/>
      <c r="AD4" s="7">
        <v>10</v>
      </c>
      <c r="AE4" s="7">
        <v>23</v>
      </c>
      <c r="AF4" s="7">
        <v>42</v>
      </c>
      <c r="AG4" s="7">
        <v>14</v>
      </c>
      <c r="AH4" s="7">
        <v>8</v>
      </c>
      <c r="AI4" s="7">
        <v>7</v>
      </c>
      <c r="AJ4" s="7">
        <v>16</v>
      </c>
      <c r="AK4" s="7">
        <v>11</v>
      </c>
      <c r="AL4" s="7">
        <v>8</v>
      </c>
      <c r="AM4" s="7">
        <v>3</v>
      </c>
      <c r="AN4" s="7">
        <v>11</v>
      </c>
      <c r="AO4" s="7">
        <v>6</v>
      </c>
      <c r="AP4" s="7">
        <v>10</v>
      </c>
      <c r="AQ4" s="7">
        <v>10</v>
      </c>
      <c r="AR4" s="7">
        <v>16</v>
      </c>
      <c r="AS4" s="7">
        <v>11</v>
      </c>
      <c r="AT4" s="7">
        <v>5</v>
      </c>
      <c r="AU4" s="7">
        <v>11</v>
      </c>
      <c r="AV4" s="7">
        <v>8</v>
      </c>
      <c r="AW4" s="7">
        <v>9</v>
      </c>
      <c r="AX4" s="7">
        <v>12</v>
      </c>
      <c r="AY4" s="7">
        <v>9</v>
      </c>
      <c r="AZ4" s="7">
        <v>8</v>
      </c>
      <c r="BA4" s="7">
        <v>11</v>
      </c>
      <c r="BB4" s="7">
        <v>1</v>
      </c>
      <c r="BC4" s="7">
        <v>8</v>
      </c>
      <c r="BD4" s="7">
        <v>9</v>
      </c>
      <c r="BE4" s="7">
        <v>10</v>
      </c>
      <c r="BF4" s="7">
        <v>10</v>
      </c>
      <c r="BG4" s="7">
        <v>8</v>
      </c>
      <c r="BH4" s="7">
        <v>8</v>
      </c>
      <c r="BI4" s="7"/>
      <c r="BJ4" s="7">
        <v>6</v>
      </c>
      <c r="BK4" s="7">
        <v>1</v>
      </c>
      <c r="BL4" s="7">
        <v>6</v>
      </c>
      <c r="BM4" s="7">
        <v>5</v>
      </c>
      <c r="BN4" s="7"/>
      <c r="BO4" s="7">
        <v>5</v>
      </c>
      <c r="BP4" s="7">
        <v>1</v>
      </c>
      <c r="BQ4" s="7">
        <v>5</v>
      </c>
      <c r="BR4" s="7">
        <v>1</v>
      </c>
      <c r="BS4" s="7">
        <v>4</v>
      </c>
      <c r="BT4" s="7">
        <v>6</v>
      </c>
      <c r="BU4" s="7">
        <v>4</v>
      </c>
      <c r="BV4" s="7">
        <v>3</v>
      </c>
      <c r="BW4" s="7">
        <v>8</v>
      </c>
      <c r="BX4" s="7"/>
      <c r="BY4" s="7">
        <v>2</v>
      </c>
      <c r="BZ4" s="7">
        <v>2</v>
      </c>
      <c r="CA4" s="7">
        <v>5</v>
      </c>
      <c r="CB4" s="7">
        <v>4</v>
      </c>
      <c r="CC4" s="7">
        <v>4</v>
      </c>
      <c r="CD4" s="7">
        <v>2</v>
      </c>
      <c r="CE4" s="7"/>
      <c r="CF4" s="7">
        <v>3</v>
      </c>
      <c r="CG4" s="7">
        <v>5</v>
      </c>
      <c r="CH4" s="7">
        <v>3</v>
      </c>
      <c r="CI4" s="7">
        <v>3</v>
      </c>
      <c r="CJ4" s="7">
        <v>5</v>
      </c>
      <c r="CK4" s="7">
        <v>3</v>
      </c>
      <c r="CL4" s="7">
        <v>3</v>
      </c>
      <c r="CM4" s="7">
        <v>4</v>
      </c>
      <c r="CN4" s="7">
        <v>4</v>
      </c>
      <c r="CO4" s="7">
        <v>4</v>
      </c>
      <c r="CP4" s="7">
        <v>1</v>
      </c>
      <c r="CQ4" s="7">
        <v>5</v>
      </c>
      <c r="CR4" s="7">
        <v>4</v>
      </c>
      <c r="CS4" s="7">
        <v>2</v>
      </c>
      <c r="CT4" s="7">
        <v>2</v>
      </c>
      <c r="CU4" s="7">
        <v>1</v>
      </c>
      <c r="CV4" s="7"/>
      <c r="CW4" s="7"/>
      <c r="CX4" s="7">
        <v>2</v>
      </c>
      <c r="CY4" s="7">
        <v>1</v>
      </c>
      <c r="CZ4" s="7">
        <v>1</v>
      </c>
      <c r="DA4" s="7">
        <v>3</v>
      </c>
      <c r="DB4" s="7">
        <v>1</v>
      </c>
      <c r="DC4" s="7">
        <v>2</v>
      </c>
      <c r="DD4" s="7">
        <v>1</v>
      </c>
      <c r="DE4" s="7"/>
      <c r="DF4" s="7">
        <v>4</v>
      </c>
      <c r="DG4" s="7">
        <v>2</v>
      </c>
      <c r="DH4" s="7">
        <v>1</v>
      </c>
      <c r="DI4" s="7">
        <v>1</v>
      </c>
      <c r="DJ4" s="7">
        <v>2</v>
      </c>
      <c r="DK4" s="7">
        <v>1</v>
      </c>
      <c r="DL4" s="7">
        <v>1</v>
      </c>
      <c r="DM4" s="7"/>
      <c r="DN4" s="7">
        <v>1</v>
      </c>
      <c r="DO4" s="7">
        <v>2</v>
      </c>
      <c r="DP4" s="7"/>
      <c r="DQ4" s="7"/>
      <c r="DR4" s="7">
        <v>1</v>
      </c>
      <c r="DS4" s="7"/>
      <c r="DT4" s="7">
        <v>1</v>
      </c>
      <c r="DU4" s="7">
        <v>2</v>
      </c>
      <c r="DV4" s="7"/>
      <c r="DW4" s="7">
        <v>1</v>
      </c>
      <c r="DX4" s="7"/>
      <c r="DY4" s="7">
        <v>1</v>
      </c>
      <c r="DZ4" s="7">
        <v>1</v>
      </c>
      <c r="EA4" s="7"/>
      <c r="EB4" s="7"/>
      <c r="EC4" s="7"/>
      <c r="ED4" s="7"/>
      <c r="EE4" s="7">
        <v>4</v>
      </c>
      <c r="EF4" s="7"/>
      <c r="EG4" s="7"/>
      <c r="EH4" s="7">
        <v>1</v>
      </c>
      <c r="EI4" s="7"/>
      <c r="EJ4" s="7"/>
      <c r="EK4" s="7">
        <v>1</v>
      </c>
      <c r="EL4" s="7"/>
      <c r="EM4" s="7">
        <v>1</v>
      </c>
      <c r="EN4" s="7">
        <v>1</v>
      </c>
      <c r="EO4" s="7">
        <v>1</v>
      </c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</row>
    <row r="5" spans="1:165" x14ac:dyDescent="0.3">
      <c r="A5" s="8" t="s">
        <v>168</v>
      </c>
      <c r="B5" s="9">
        <v>1130</v>
      </c>
      <c r="C5" s="9">
        <v>1130</v>
      </c>
      <c r="D5" s="9">
        <v>0</v>
      </c>
      <c r="E5" s="9">
        <v>75</v>
      </c>
      <c r="F5" s="9">
        <v>151</v>
      </c>
      <c r="G5" s="9">
        <v>42</v>
      </c>
      <c r="H5" s="9">
        <v>112</v>
      </c>
      <c r="I5" s="9">
        <v>134</v>
      </c>
      <c r="J5" s="9">
        <v>45</v>
      </c>
      <c r="K5" s="9">
        <v>56</v>
      </c>
      <c r="L5" s="9">
        <v>62</v>
      </c>
      <c r="M5" s="9">
        <v>18</v>
      </c>
      <c r="N5" s="9">
        <v>12</v>
      </c>
      <c r="O5" s="9">
        <v>50</v>
      </c>
      <c r="P5" s="9">
        <v>39</v>
      </c>
      <c r="Q5" s="9">
        <v>20</v>
      </c>
      <c r="R5" s="9">
        <v>7</v>
      </c>
      <c r="S5" s="9">
        <v>17</v>
      </c>
      <c r="T5" s="9">
        <v>29</v>
      </c>
      <c r="U5" s="9"/>
      <c r="V5" s="9">
        <v>11</v>
      </c>
      <c r="W5" s="9">
        <v>14</v>
      </c>
      <c r="X5" s="9">
        <v>6</v>
      </c>
      <c r="Y5" s="9">
        <v>16</v>
      </c>
      <c r="Z5" s="9">
        <v>19</v>
      </c>
      <c r="AA5" s="9">
        <v>18</v>
      </c>
      <c r="AB5" s="9">
        <v>2</v>
      </c>
      <c r="AC5" s="9"/>
      <c r="AD5" s="9">
        <v>5</v>
      </c>
      <c r="AE5" s="9">
        <v>1</v>
      </c>
      <c r="AF5" s="9">
        <v>8</v>
      </c>
      <c r="AG5" s="9">
        <v>10</v>
      </c>
      <c r="AH5" s="9">
        <v>5</v>
      </c>
      <c r="AI5" s="9">
        <v>10</v>
      </c>
      <c r="AJ5" s="9">
        <v>3</v>
      </c>
      <c r="AK5" s="9">
        <v>12</v>
      </c>
      <c r="AL5" s="9"/>
      <c r="AM5" s="9"/>
      <c r="AN5" s="9"/>
      <c r="AO5" s="9">
        <v>1</v>
      </c>
      <c r="AP5" s="9">
        <v>1</v>
      </c>
      <c r="AQ5" s="9">
        <v>4</v>
      </c>
      <c r="AR5" s="9">
        <v>9</v>
      </c>
      <c r="AS5" s="9">
        <v>4</v>
      </c>
      <c r="AT5" s="9">
        <v>1</v>
      </c>
      <c r="AU5" s="9">
        <v>26</v>
      </c>
      <c r="AV5" s="9">
        <v>1</v>
      </c>
      <c r="AW5" s="9">
        <v>15</v>
      </c>
      <c r="AX5" s="9">
        <v>2</v>
      </c>
      <c r="AY5" s="9">
        <v>1</v>
      </c>
      <c r="AZ5" s="9">
        <v>1</v>
      </c>
      <c r="BA5" s="9">
        <v>6</v>
      </c>
      <c r="BB5" s="9"/>
      <c r="BC5" s="9">
        <v>1</v>
      </c>
      <c r="BD5" s="9">
        <v>2</v>
      </c>
      <c r="BE5" s="9"/>
      <c r="BF5" s="9">
        <v>5</v>
      </c>
      <c r="BG5" s="9"/>
      <c r="BH5" s="9">
        <v>1</v>
      </c>
      <c r="BI5" s="9"/>
      <c r="BJ5" s="9">
        <v>3</v>
      </c>
      <c r="BK5" s="9">
        <v>14</v>
      </c>
      <c r="BL5" s="9">
        <v>1</v>
      </c>
      <c r="BM5" s="9">
        <v>1</v>
      </c>
      <c r="BN5" s="9">
        <v>32</v>
      </c>
      <c r="BO5" s="9">
        <v>1</v>
      </c>
      <c r="BP5" s="9"/>
      <c r="BQ5" s="9">
        <v>1</v>
      </c>
      <c r="BR5" s="9"/>
      <c r="BS5" s="9">
        <v>3</v>
      </c>
      <c r="BT5" s="9"/>
      <c r="BU5" s="9"/>
      <c r="BV5" s="9">
        <v>7</v>
      </c>
      <c r="BW5" s="9"/>
      <c r="BX5" s="9"/>
      <c r="BY5" s="9"/>
      <c r="BZ5" s="9">
        <v>2</v>
      </c>
      <c r="CA5" s="9"/>
      <c r="CB5" s="9">
        <v>1</v>
      </c>
      <c r="CC5" s="9">
        <v>3</v>
      </c>
      <c r="CD5" s="9"/>
      <c r="CE5" s="9">
        <v>8</v>
      </c>
      <c r="CF5" s="9">
        <v>2</v>
      </c>
      <c r="CG5" s="9"/>
      <c r="CH5" s="9"/>
      <c r="CI5" s="9">
        <v>8</v>
      </c>
      <c r="CJ5" s="9"/>
      <c r="CK5" s="9">
        <v>3</v>
      </c>
      <c r="CL5" s="9"/>
      <c r="CM5" s="9"/>
      <c r="CN5" s="9"/>
      <c r="CO5" s="9"/>
      <c r="CP5" s="9"/>
      <c r="CQ5" s="9"/>
      <c r="CR5" s="9">
        <v>1</v>
      </c>
      <c r="CS5" s="9">
        <v>3</v>
      </c>
      <c r="CT5" s="9"/>
      <c r="CU5" s="9"/>
      <c r="CV5" s="9"/>
      <c r="CW5" s="9"/>
      <c r="CX5" s="9"/>
      <c r="CY5" s="9"/>
      <c r="CZ5" s="9"/>
      <c r="DA5" s="9">
        <v>3</v>
      </c>
      <c r="DB5" s="9"/>
      <c r="DC5" s="9"/>
      <c r="DD5" s="9">
        <v>1</v>
      </c>
      <c r="DE5" s="9">
        <v>1</v>
      </c>
      <c r="DF5" s="9"/>
      <c r="DG5" s="9"/>
      <c r="DH5" s="9"/>
      <c r="DI5" s="9"/>
      <c r="DJ5" s="9"/>
      <c r="DK5" s="9">
        <v>1</v>
      </c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>
        <v>3</v>
      </c>
      <c r="EC5" s="9"/>
      <c r="ED5" s="9"/>
      <c r="EE5" s="9"/>
      <c r="EF5" s="9">
        <v>4</v>
      </c>
      <c r="EG5" s="9"/>
      <c r="EH5" s="9"/>
      <c r="EI5" s="9"/>
      <c r="EJ5" s="9"/>
      <c r="EK5" s="9"/>
      <c r="EL5" s="9"/>
      <c r="EM5" s="9"/>
      <c r="EN5" s="9"/>
      <c r="EO5" s="9"/>
      <c r="EP5" s="9">
        <v>3</v>
      </c>
      <c r="EQ5" s="9"/>
      <c r="ER5" s="9">
        <v>1</v>
      </c>
      <c r="ES5" s="9"/>
      <c r="ET5" s="9"/>
      <c r="EU5" s="9"/>
      <c r="EV5" s="9"/>
      <c r="EW5" s="9"/>
      <c r="EX5" s="9">
        <v>2</v>
      </c>
      <c r="EY5" s="9">
        <v>2</v>
      </c>
      <c r="EZ5" s="9"/>
      <c r="FA5" s="9"/>
      <c r="FB5" s="9"/>
      <c r="FC5" s="9"/>
      <c r="FD5" s="9"/>
      <c r="FE5" s="9"/>
      <c r="FF5" s="9"/>
      <c r="FG5" s="9"/>
      <c r="FH5" s="9"/>
      <c r="FI5" s="9"/>
    </row>
    <row r="6" spans="1:165" x14ac:dyDescent="0.3">
      <c r="A6" s="6" t="s">
        <v>169</v>
      </c>
      <c r="B6" s="7">
        <v>24723</v>
      </c>
      <c r="C6" s="7">
        <v>10281</v>
      </c>
      <c r="D6" s="7">
        <v>14442</v>
      </c>
      <c r="E6" s="7">
        <v>131</v>
      </c>
      <c r="F6" s="7">
        <v>1231</v>
      </c>
      <c r="G6" s="7">
        <v>1252</v>
      </c>
      <c r="H6" s="7">
        <v>1072</v>
      </c>
      <c r="I6" s="7">
        <v>802</v>
      </c>
      <c r="J6" s="7">
        <v>971</v>
      </c>
      <c r="K6" s="7">
        <v>810</v>
      </c>
      <c r="L6" s="7">
        <v>621</v>
      </c>
      <c r="M6" s="7">
        <v>340</v>
      </c>
      <c r="N6" s="7">
        <v>399</v>
      </c>
      <c r="O6" s="7">
        <v>351</v>
      </c>
      <c r="P6" s="7">
        <v>239</v>
      </c>
      <c r="Q6" s="7">
        <v>257</v>
      </c>
      <c r="R6" s="7">
        <v>158</v>
      </c>
      <c r="S6" s="7">
        <v>162</v>
      </c>
      <c r="T6" s="7">
        <v>72</v>
      </c>
      <c r="U6" s="7">
        <v>177</v>
      </c>
      <c r="V6" s="7">
        <v>147</v>
      </c>
      <c r="W6" s="7">
        <v>102</v>
      </c>
      <c r="X6" s="7">
        <v>101</v>
      </c>
      <c r="Y6" s="7">
        <v>50</v>
      </c>
      <c r="Z6" s="7">
        <v>49</v>
      </c>
      <c r="AA6" s="7">
        <v>57</v>
      </c>
      <c r="AB6" s="7">
        <v>81</v>
      </c>
      <c r="AC6" s="7"/>
      <c r="AD6" s="7">
        <v>52</v>
      </c>
      <c r="AE6" s="7">
        <v>55</v>
      </c>
      <c r="AF6" s="7">
        <v>62</v>
      </c>
      <c r="AG6" s="7">
        <v>46</v>
      </c>
      <c r="AH6" s="7">
        <v>54</v>
      </c>
      <c r="AI6" s="7">
        <v>40</v>
      </c>
      <c r="AJ6" s="7">
        <v>52</v>
      </c>
      <c r="AK6" s="7">
        <v>36</v>
      </c>
      <c r="AL6" s="7">
        <v>49</v>
      </c>
      <c r="AM6" s="7">
        <v>79</v>
      </c>
      <c r="AN6" s="7">
        <v>47</v>
      </c>
      <c r="AO6" s="7">
        <v>56</v>
      </c>
      <c r="AP6" s="7">
        <v>13</v>
      </c>
      <c r="AQ6" s="7">
        <v>38</v>
      </c>
      <c r="AR6" s="7">
        <v>30</v>
      </c>
      <c r="AS6" s="7">
        <v>22</v>
      </c>
      <c r="AT6" s="7">
        <v>62</v>
      </c>
      <c r="AU6" s="7">
        <v>9</v>
      </c>
      <c r="AV6" s="7">
        <v>26</v>
      </c>
      <c r="AW6" s="7">
        <v>15</v>
      </c>
      <c r="AX6" s="7">
        <v>23</v>
      </c>
      <c r="AY6" s="7">
        <v>21</v>
      </c>
      <c r="AZ6" s="7">
        <v>22</v>
      </c>
      <c r="BA6" s="7">
        <v>14</v>
      </c>
      <c r="BB6" s="7">
        <v>34</v>
      </c>
      <c r="BC6" s="7">
        <v>24</v>
      </c>
      <c r="BD6" s="7">
        <v>19</v>
      </c>
      <c r="BE6" s="7">
        <v>19</v>
      </c>
      <c r="BF6" s="7">
        <v>8</v>
      </c>
      <c r="BG6" s="7">
        <v>13</v>
      </c>
      <c r="BH6" s="7">
        <v>13</v>
      </c>
      <c r="BI6" s="7">
        <v>9</v>
      </c>
      <c r="BJ6" s="7">
        <v>18</v>
      </c>
      <c r="BK6" s="7">
        <v>8</v>
      </c>
      <c r="BL6" s="7">
        <v>13</v>
      </c>
      <c r="BM6" s="7">
        <v>13</v>
      </c>
      <c r="BN6" s="7">
        <v>3</v>
      </c>
      <c r="BO6" s="7">
        <v>10</v>
      </c>
      <c r="BP6" s="7">
        <v>13</v>
      </c>
      <c r="BQ6" s="7">
        <v>6</v>
      </c>
      <c r="BR6" s="7">
        <v>20</v>
      </c>
      <c r="BS6" s="7">
        <v>10</v>
      </c>
      <c r="BT6" s="7">
        <v>12</v>
      </c>
      <c r="BU6" s="7">
        <v>15</v>
      </c>
      <c r="BV6" s="7">
        <v>8</v>
      </c>
      <c r="BW6" s="7">
        <v>14</v>
      </c>
      <c r="BX6" s="7"/>
      <c r="BY6" s="7">
        <v>10</v>
      </c>
      <c r="BZ6" s="7">
        <v>11</v>
      </c>
      <c r="CA6" s="7">
        <v>11</v>
      </c>
      <c r="CB6" s="7">
        <v>12</v>
      </c>
      <c r="CC6" s="7">
        <v>7</v>
      </c>
      <c r="CD6" s="7">
        <v>10</v>
      </c>
      <c r="CE6" s="7">
        <v>10</v>
      </c>
      <c r="CF6" s="7">
        <v>7</v>
      </c>
      <c r="CG6" s="7">
        <v>15</v>
      </c>
      <c r="CH6" s="7">
        <v>10</v>
      </c>
      <c r="CI6" s="7">
        <v>6</v>
      </c>
      <c r="CJ6" s="7">
        <v>7</v>
      </c>
      <c r="CK6" s="7">
        <v>8</v>
      </c>
      <c r="CL6" s="7">
        <v>7</v>
      </c>
      <c r="CM6" s="7">
        <v>6</v>
      </c>
      <c r="CN6" s="7">
        <v>6</v>
      </c>
      <c r="CO6" s="7">
        <v>6</v>
      </c>
      <c r="CP6" s="7">
        <v>7</v>
      </c>
      <c r="CQ6" s="7">
        <v>8</v>
      </c>
      <c r="CR6" s="7">
        <v>5</v>
      </c>
      <c r="CS6" s="7">
        <v>6</v>
      </c>
      <c r="CT6" s="7">
        <v>17</v>
      </c>
      <c r="CU6" s="7">
        <v>9</v>
      </c>
      <c r="CV6" s="7">
        <v>16</v>
      </c>
      <c r="CW6" s="7">
        <v>8</v>
      </c>
      <c r="CX6" s="7">
        <v>5</v>
      </c>
      <c r="CY6" s="7">
        <v>11</v>
      </c>
      <c r="CZ6" s="7">
        <v>5</v>
      </c>
      <c r="DA6" s="7">
        <v>4</v>
      </c>
      <c r="DB6" s="7">
        <v>7</v>
      </c>
      <c r="DC6" s="7">
        <v>7</v>
      </c>
      <c r="DD6" s="7">
        <v>1</v>
      </c>
      <c r="DE6" s="7">
        <v>3</v>
      </c>
      <c r="DF6" s="7">
        <v>5</v>
      </c>
      <c r="DG6" s="7">
        <v>4</v>
      </c>
      <c r="DH6" s="7">
        <v>4</v>
      </c>
      <c r="DI6" s="7">
        <v>4</v>
      </c>
      <c r="DJ6" s="7">
        <v>3</v>
      </c>
      <c r="DK6" s="7">
        <v>4</v>
      </c>
      <c r="DL6" s="7">
        <v>4</v>
      </c>
      <c r="DM6" s="7"/>
      <c r="DN6" s="7">
        <v>3</v>
      </c>
      <c r="DO6" s="7">
        <v>3</v>
      </c>
      <c r="DP6" s="7">
        <v>4</v>
      </c>
      <c r="DQ6" s="7">
        <v>6</v>
      </c>
      <c r="DR6" s="7">
        <v>2</v>
      </c>
      <c r="DS6" s="7"/>
      <c r="DT6" s="7">
        <v>3</v>
      </c>
      <c r="DU6" s="7">
        <v>2</v>
      </c>
      <c r="DV6" s="7">
        <v>2</v>
      </c>
      <c r="DW6" s="7">
        <v>5</v>
      </c>
      <c r="DX6" s="7"/>
      <c r="DY6" s="7">
        <v>2</v>
      </c>
      <c r="DZ6" s="7">
        <v>2</v>
      </c>
      <c r="EA6" s="7">
        <v>2</v>
      </c>
      <c r="EB6" s="7"/>
      <c r="EC6" s="7"/>
      <c r="ED6" s="7"/>
      <c r="EE6" s="7"/>
      <c r="EF6" s="7"/>
      <c r="EG6" s="7"/>
      <c r="EH6" s="7">
        <v>1</v>
      </c>
      <c r="EI6" s="7">
        <v>2</v>
      </c>
      <c r="EJ6" s="7"/>
      <c r="EK6" s="7">
        <v>1</v>
      </c>
      <c r="EL6" s="7"/>
      <c r="EM6" s="7">
        <v>1</v>
      </c>
      <c r="EN6" s="7">
        <v>1</v>
      </c>
      <c r="EO6" s="7">
        <v>1</v>
      </c>
      <c r="EP6" s="7"/>
      <c r="EQ6" s="7">
        <v>1</v>
      </c>
      <c r="ER6" s="7"/>
      <c r="ES6" s="7"/>
      <c r="ET6" s="7">
        <v>1</v>
      </c>
      <c r="EU6" s="7">
        <v>1</v>
      </c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>
        <v>1</v>
      </c>
    </row>
    <row r="7" spans="1:165" x14ac:dyDescent="0.3">
      <c r="B7">
        <f>SUM(B2:B6)</f>
        <v>234161</v>
      </c>
      <c r="C7">
        <f t="shared" ref="C7:BN7" si="0">SUM(C2:C6)</f>
        <v>24545</v>
      </c>
      <c r="D7">
        <f t="shared" si="0"/>
        <v>209616</v>
      </c>
      <c r="E7">
        <f t="shared" si="0"/>
        <v>571</v>
      </c>
      <c r="F7">
        <f t="shared" si="0"/>
        <v>2898</v>
      </c>
      <c r="G7">
        <f t="shared" si="0"/>
        <v>2640</v>
      </c>
      <c r="H7">
        <f t="shared" si="0"/>
        <v>2251</v>
      </c>
      <c r="I7">
        <f t="shared" si="0"/>
        <v>1846</v>
      </c>
      <c r="J7">
        <f t="shared" si="0"/>
        <v>1801</v>
      </c>
      <c r="K7">
        <f t="shared" si="0"/>
        <v>1495</v>
      </c>
      <c r="L7">
        <f t="shared" si="0"/>
        <v>1267</v>
      </c>
      <c r="M7">
        <f t="shared" si="0"/>
        <v>799</v>
      </c>
      <c r="N7">
        <f t="shared" si="0"/>
        <v>747</v>
      </c>
      <c r="O7">
        <f t="shared" si="0"/>
        <v>746</v>
      </c>
      <c r="P7">
        <f t="shared" si="0"/>
        <v>602</v>
      </c>
      <c r="Q7">
        <f t="shared" si="0"/>
        <v>582</v>
      </c>
      <c r="R7">
        <f t="shared" si="0"/>
        <v>437</v>
      </c>
      <c r="S7">
        <f t="shared" si="0"/>
        <v>410</v>
      </c>
      <c r="T7">
        <f t="shared" si="0"/>
        <v>322</v>
      </c>
      <c r="U7">
        <f t="shared" si="0"/>
        <v>309</v>
      </c>
      <c r="V7">
        <f t="shared" si="0"/>
        <v>303</v>
      </c>
      <c r="W7">
        <f t="shared" si="0"/>
        <v>295</v>
      </c>
      <c r="X7">
        <f t="shared" si="0"/>
        <v>244</v>
      </c>
      <c r="Y7">
        <f t="shared" si="0"/>
        <v>218</v>
      </c>
      <c r="Z7">
        <f t="shared" si="0"/>
        <v>217</v>
      </c>
      <c r="AA7">
        <f t="shared" si="0"/>
        <v>213</v>
      </c>
      <c r="AB7">
        <f t="shared" si="0"/>
        <v>198</v>
      </c>
      <c r="AC7">
        <f t="shared" si="0"/>
        <v>189</v>
      </c>
      <c r="AD7">
        <f t="shared" si="0"/>
        <v>166</v>
      </c>
      <c r="AE7">
        <f t="shared" si="0"/>
        <v>161</v>
      </c>
      <c r="AF7">
        <f t="shared" si="0"/>
        <v>148</v>
      </c>
      <c r="AG7">
        <f t="shared" si="0"/>
        <v>142</v>
      </c>
      <c r="AH7">
        <f t="shared" si="0"/>
        <v>135</v>
      </c>
      <c r="AI7">
        <f t="shared" si="0"/>
        <v>123</v>
      </c>
      <c r="AJ7">
        <f t="shared" si="0"/>
        <v>119</v>
      </c>
      <c r="AK7">
        <f t="shared" si="0"/>
        <v>116</v>
      </c>
      <c r="AL7">
        <f t="shared" si="0"/>
        <v>113</v>
      </c>
      <c r="AM7">
        <f t="shared" si="0"/>
        <v>107</v>
      </c>
      <c r="AN7">
        <f t="shared" si="0"/>
        <v>106</v>
      </c>
      <c r="AO7">
        <f t="shared" si="0"/>
        <v>105</v>
      </c>
      <c r="AP7">
        <f t="shared" si="0"/>
        <v>103</v>
      </c>
      <c r="AQ7">
        <f t="shared" si="0"/>
        <v>103</v>
      </c>
      <c r="AR7">
        <f t="shared" si="0"/>
        <v>90</v>
      </c>
      <c r="AS7">
        <f t="shared" si="0"/>
        <v>89</v>
      </c>
      <c r="AT7">
        <f t="shared" si="0"/>
        <v>89</v>
      </c>
      <c r="AU7">
        <f t="shared" si="0"/>
        <v>73</v>
      </c>
      <c r="AV7">
        <f t="shared" si="0"/>
        <v>71</v>
      </c>
      <c r="AW7">
        <f t="shared" si="0"/>
        <v>64</v>
      </c>
      <c r="AX7">
        <f t="shared" si="0"/>
        <v>63</v>
      </c>
      <c r="AY7">
        <f t="shared" si="0"/>
        <v>61</v>
      </c>
      <c r="AZ7">
        <f t="shared" si="0"/>
        <v>58</v>
      </c>
      <c r="BA7">
        <f t="shared" si="0"/>
        <v>55</v>
      </c>
      <c r="BB7">
        <f t="shared" si="0"/>
        <v>53</v>
      </c>
      <c r="BC7">
        <f t="shared" si="0"/>
        <v>52</v>
      </c>
      <c r="BD7">
        <f t="shared" si="0"/>
        <v>51</v>
      </c>
      <c r="BE7">
        <f t="shared" si="0"/>
        <v>48</v>
      </c>
      <c r="BF7">
        <f t="shared" si="0"/>
        <v>47</v>
      </c>
      <c r="BG7">
        <f t="shared" si="0"/>
        <v>41</v>
      </c>
      <c r="BH7">
        <f t="shared" si="0"/>
        <v>40</v>
      </c>
      <c r="BI7">
        <f t="shared" si="0"/>
        <v>39</v>
      </c>
      <c r="BJ7">
        <f t="shared" si="0"/>
        <v>39</v>
      </c>
      <c r="BK7">
        <f t="shared" si="0"/>
        <v>39</v>
      </c>
      <c r="BL7">
        <f t="shared" si="0"/>
        <v>38</v>
      </c>
      <c r="BM7">
        <f t="shared" si="0"/>
        <v>38</v>
      </c>
      <c r="BN7">
        <f t="shared" si="0"/>
        <v>38</v>
      </c>
      <c r="BO7">
        <f t="shared" ref="BO7:DZ7" si="1">SUM(BO2:BO6)</f>
        <v>37</v>
      </c>
      <c r="BP7">
        <f t="shared" si="1"/>
        <v>37</v>
      </c>
      <c r="BQ7">
        <f t="shared" si="1"/>
        <v>36</v>
      </c>
      <c r="BR7">
        <f t="shared" si="1"/>
        <v>36</v>
      </c>
      <c r="BS7">
        <f t="shared" si="1"/>
        <v>35</v>
      </c>
      <c r="BT7">
        <f t="shared" si="1"/>
        <v>35</v>
      </c>
      <c r="BU7">
        <f t="shared" si="1"/>
        <v>34</v>
      </c>
      <c r="BV7">
        <f t="shared" si="1"/>
        <v>32</v>
      </c>
      <c r="BW7">
        <f t="shared" si="1"/>
        <v>32</v>
      </c>
      <c r="BX7">
        <f t="shared" si="1"/>
        <v>31</v>
      </c>
      <c r="BY7">
        <f t="shared" si="1"/>
        <v>29</v>
      </c>
      <c r="BZ7">
        <f t="shared" si="1"/>
        <v>29</v>
      </c>
      <c r="CA7">
        <f t="shared" si="1"/>
        <v>29</v>
      </c>
      <c r="CB7">
        <f t="shared" si="1"/>
        <v>29</v>
      </c>
      <c r="CC7">
        <f t="shared" si="1"/>
        <v>28</v>
      </c>
      <c r="CD7">
        <f t="shared" si="1"/>
        <v>28</v>
      </c>
      <c r="CE7">
        <f t="shared" si="1"/>
        <v>28</v>
      </c>
      <c r="CF7">
        <f t="shared" si="1"/>
        <v>27</v>
      </c>
      <c r="CG7">
        <f t="shared" si="1"/>
        <v>26</v>
      </c>
      <c r="CH7">
        <f t="shared" si="1"/>
        <v>25</v>
      </c>
      <c r="CI7">
        <f t="shared" si="1"/>
        <v>24</v>
      </c>
      <c r="CJ7">
        <f t="shared" si="1"/>
        <v>24</v>
      </c>
      <c r="CK7">
        <f t="shared" si="1"/>
        <v>23</v>
      </c>
      <c r="CL7">
        <f t="shared" si="1"/>
        <v>22</v>
      </c>
      <c r="CM7">
        <f t="shared" si="1"/>
        <v>21</v>
      </c>
      <c r="CN7">
        <f t="shared" si="1"/>
        <v>21</v>
      </c>
      <c r="CO7">
        <f t="shared" si="1"/>
        <v>20</v>
      </c>
      <c r="CP7">
        <f t="shared" si="1"/>
        <v>20</v>
      </c>
      <c r="CQ7">
        <f t="shared" si="1"/>
        <v>20</v>
      </c>
      <c r="CR7">
        <f t="shared" si="1"/>
        <v>19</v>
      </c>
      <c r="CS7">
        <f t="shared" si="1"/>
        <v>19</v>
      </c>
      <c r="CT7">
        <f t="shared" si="1"/>
        <v>19</v>
      </c>
      <c r="CU7">
        <f t="shared" si="1"/>
        <v>18</v>
      </c>
      <c r="CV7">
        <f t="shared" si="1"/>
        <v>17</v>
      </c>
      <c r="CW7">
        <f t="shared" si="1"/>
        <v>16</v>
      </c>
      <c r="CX7">
        <f t="shared" si="1"/>
        <v>15</v>
      </c>
      <c r="CY7">
        <f t="shared" si="1"/>
        <v>14</v>
      </c>
      <c r="CZ7">
        <f t="shared" si="1"/>
        <v>14</v>
      </c>
      <c r="DA7">
        <f t="shared" si="1"/>
        <v>14</v>
      </c>
      <c r="DB7">
        <f t="shared" si="1"/>
        <v>14</v>
      </c>
      <c r="DC7">
        <f t="shared" si="1"/>
        <v>13</v>
      </c>
      <c r="DD7">
        <f t="shared" si="1"/>
        <v>12</v>
      </c>
      <c r="DE7">
        <f t="shared" si="1"/>
        <v>11</v>
      </c>
      <c r="DF7">
        <f t="shared" si="1"/>
        <v>11</v>
      </c>
      <c r="DG7">
        <f t="shared" si="1"/>
        <v>11</v>
      </c>
      <c r="DH7">
        <f t="shared" si="1"/>
        <v>11</v>
      </c>
      <c r="DI7">
        <f t="shared" si="1"/>
        <v>10</v>
      </c>
      <c r="DJ7">
        <f t="shared" si="1"/>
        <v>10</v>
      </c>
      <c r="DK7">
        <f t="shared" si="1"/>
        <v>10</v>
      </c>
      <c r="DL7">
        <f t="shared" si="1"/>
        <v>9</v>
      </c>
      <c r="DM7">
        <f t="shared" si="1"/>
        <v>9</v>
      </c>
      <c r="DN7">
        <f t="shared" si="1"/>
        <v>8</v>
      </c>
      <c r="DO7">
        <f t="shared" si="1"/>
        <v>8</v>
      </c>
      <c r="DP7">
        <f t="shared" si="1"/>
        <v>8</v>
      </c>
      <c r="DQ7">
        <f t="shared" si="1"/>
        <v>7</v>
      </c>
      <c r="DR7">
        <f t="shared" si="1"/>
        <v>7</v>
      </c>
      <c r="DS7">
        <f t="shared" si="1"/>
        <v>7</v>
      </c>
      <c r="DT7">
        <f t="shared" si="1"/>
        <v>7</v>
      </c>
      <c r="DU7">
        <f t="shared" si="1"/>
        <v>6</v>
      </c>
      <c r="DV7">
        <f t="shared" si="1"/>
        <v>6</v>
      </c>
      <c r="DW7">
        <f t="shared" si="1"/>
        <v>6</v>
      </c>
      <c r="DX7">
        <f t="shared" si="1"/>
        <v>5</v>
      </c>
      <c r="DY7">
        <f t="shared" si="1"/>
        <v>5</v>
      </c>
      <c r="DZ7">
        <f t="shared" si="1"/>
        <v>5</v>
      </c>
      <c r="EA7">
        <f t="shared" ref="EA7:FI7" si="2">SUM(EA2:EA6)</f>
        <v>4</v>
      </c>
      <c r="EB7">
        <f t="shared" si="2"/>
        <v>4</v>
      </c>
      <c r="EC7">
        <f t="shared" si="2"/>
        <v>4</v>
      </c>
      <c r="ED7">
        <f t="shared" si="2"/>
        <v>4</v>
      </c>
      <c r="EE7">
        <f t="shared" si="2"/>
        <v>4</v>
      </c>
      <c r="EF7">
        <f t="shared" si="2"/>
        <v>4</v>
      </c>
      <c r="EG7">
        <f t="shared" si="2"/>
        <v>3</v>
      </c>
      <c r="EH7">
        <f t="shared" si="2"/>
        <v>3</v>
      </c>
      <c r="EI7">
        <f t="shared" si="2"/>
        <v>3</v>
      </c>
      <c r="EJ7">
        <f t="shared" si="2"/>
        <v>3</v>
      </c>
      <c r="EK7">
        <f t="shared" si="2"/>
        <v>3</v>
      </c>
      <c r="EL7">
        <f t="shared" si="2"/>
        <v>3</v>
      </c>
      <c r="EM7">
        <f t="shared" si="2"/>
        <v>3</v>
      </c>
      <c r="EN7">
        <f t="shared" si="2"/>
        <v>3</v>
      </c>
      <c r="EO7">
        <f t="shared" si="2"/>
        <v>3</v>
      </c>
      <c r="EP7">
        <f t="shared" si="2"/>
        <v>3</v>
      </c>
      <c r="EQ7">
        <f t="shared" si="2"/>
        <v>2</v>
      </c>
      <c r="ER7">
        <f t="shared" si="2"/>
        <v>2</v>
      </c>
      <c r="ES7">
        <f t="shared" si="2"/>
        <v>2</v>
      </c>
      <c r="ET7">
        <f t="shared" si="2"/>
        <v>2</v>
      </c>
      <c r="EU7">
        <f t="shared" si="2"/>
        <v>2</v>
      </c>
      <c r="EV7">
        <f t="shared" si="2"/>
        <v>2</v>
      </c>
      <c r="EW7">
        <f t="shared" si="2"/>
        <v>2</v>
      </c>
      <c r="EX7">
        <f t="shared" si="2"/>
        <v>2</v>
      </c>
      <c r="EY7">
        <f t="shared" si="2"/>
        <v>2</v>
      </c>
      <c r="EZ7">
        <f t="shared" si="2"/>
        <v>1</v>
      </c>
      <c r="FA7">
        <f t="shared" si="2"/>
        <v>1</v>
      </c>
      <c r="FB7">
        <f t="shared" si="2"/>
        <v>1</v>
      </c>
      <c r="FC7">
        <f t="shared" si="2"/>
        <v>1</v>
      </c>
      <c r="FD7">
        <f t="shared" si="2"/>
        <v>1</v>
      </c>
      <c r="FE7">
        <f t="shared" si="2"/>
        <v>1</v>
      </c>
      <c r="FF7">
        <f t="shared" si="2"/>
        <v>1</v>
      </c>
      <c r="FG7">
        <f t="shared" si="2"/>
        <v>1</v>
      </c>
      <c r="FH7">
        <f t="shared" si="2"/>
        <v>1</v>
      </c>
      <c r="FI7">
        <f t="shared" si="2"/>
        <v>1</v>
      </c>
    </row>
    <row r="8" spans="1:165" x14ac:dyDescent="0.3">
      <c r="B8">
        <f>COUNTIF(7:7, "&gt;=50")-4</f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22" customWidth="1"/>
    <col min="2" max="2" width="60" customWidth="1"/>
  </cols>
  <sheetData>
    <row r="1" spans="1:2" x14ac:dyDescent="0.3">
      <c r="A1" s="10" t="s">
        <v>170</v>
      </c>
      <c r="B1" s="11" t="s">
        <v>171</v>
      </c>
    </row>
    <row r="2" spans="1:2" x14ac:dyDescent="0.3">
      <c r="A2" s="12" t="s">
        <v>172</v>
      </c>
      <c r="B2" s="13" t="s">
        <v>173</v>
      </c>
    </row>
    <row r="3" spans="1:2" x14ac:dyDescent="0.3">
      <c r="A3" s="14" t="s">
        <v>174</v>
      </c>
      <c r="B3" s="13" t="s">
        <v>175</v>
      </c>
    </row>
    <row r="4" spans="1:2" x14ac:dyDescent="0.3">
      <c r="A4" s="15" t="s">
        <v>176</v>
      </c>
      <c r="B4" s="13" t="s">
        <v>177</v>
      </c>
    </row>
    <row r="5" spans="1:2" x14ac:dyDescent="0.3">
      <c r="A5" s="16" t="s">
        <v>178</v>
      </c>
      <c r="B5" s="13" t="s">
        <v>179</v>
      </c>
    </row>
    <row r="6" spans="1:2" x14ac:dyDescent="0.3">
      <c r="A6" s="17" t="s">
        <v>180</v>
      </c>
      <c r="B6" s="13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C_C++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ALTIERO</cp:lastModifiedBy>
  <dcterms:created xsi:type="dcterms:W3CDTF">2026-04-15T12:47:53Z</dcterms:created>
  <dcterms:modified xsi:type="dcterms:W3CDTF">2026-04-22T10:18:32Z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2026-04-22T10:14:29Z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f135c309-0870-433f-9067-b60497cc60d7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